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nkushmishra/Desktop/SAAS_Project/"/>
    </mc:Choice>
  </mc:AlternateContent>
  <xr:revisionPtr revIDLastSave="0" documentId="13_ncr:1_{0DAFF872-CD64-2A40-97BD-A437C02CEE51}" xr6:coauthVersionLast="47" xr6:coauthVersionMax="47" xr10:uidLastSave="{00000000-0000-0000-0000-000000000000}"/>
  <bookViews>
    <workbookView xWindow="0" yWindow="660" windowWidth="29400" windowHeight="17420" xr2:uid="{00000000-000D-0000-FFFF-FFFF00000000}"/>
  </bookViews>
  <sheets>
    <sheet name="ReadMe" sheetId="1" r:id="rId1"/>
    <sheet name="Monthly_Actuals" sheetId="2" r:id="rId2"/>
    <sheet name="Budget_vs_Actual" sheetId="3" r:id="rId3"/>
    <sheet name="Revenue_Forecast" sheetId="4" r:id="rId4"/>
    <sheet name="KPI_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/>
  <c r="B5" i="5"/>
  <c r="B4" i="5"/>
  <c r="C31" i="4"/>
  <c r="C30" i="4"/>
  <c r="C29" i="4"/>
  <c r="C28" i="4"/>
  <c r="C27" i="4"/>
  <c r="C26" i="4"/>
  <c r="B11" i="5" s="1"/>
  <c r="C25" i="4"/>
  <c r="C25" i="3"/>
  <c r="D25" i="3" s="1"/>
  <c r="D24" i="3"/>
  <c r="C24" i="3"/>
  <c r="C23" i="3"/>
  <c r="D23" i="3" s="1"/>
  <c r="C22" i="3"/>
  <c r="D22" i="3" s="1"/>
  <c r="C21" i="3"/>
  <c r="D21" i="3" s="1"/>
  <c r="C20" i="3"/>
  <c r="D20" i="3" s="1"/>
  <c r="C19" i="3"/>
  <c r="D19" i="3" s="1"/>
  <c r="C18" i="3"/>
  <c r="D18" i="3" s="1"/>
  <c r="C17" i="3"/>
  <c r="D17" i="3" s="1"/>
  <c r="C16" i="3"/>
  <c r="D16" i="3" s="1"/>
  <c r="C15" i="3"/>
  <c r="D15" i="3" s="1"/>
  <c r="C14" i="3"/>
  <c r="D14" i="3" s="1"/>
  <c r="C13" i="3"/>
  <c r="D13" i="3" s="1"/>
  <c r="C12" i="3"/>
  <c r="D12" i="3" s="1"/>
  <c r="C11" i="3"/>
  <c r="D11" i="3" s="1"/>
  <c r="C10" i="3"/>
  <c r="D10" i="3" s="1"/>
  <c r="C9" i="3"/>
  <c r="D9" i="3" s="1"/>
  <c r="C8" i="3"/>
  <c r="D8" i="3" s="1"/>
  <c r="C7" i="3"/>
  <c r="D7" i="3" s="1"/>
  <c r="C6" i="3"/>
  <c r="D6" i="3" s="1"/>
  <c r="C5" i="3"/>
  <c r="D5" i="3" s="1"/>
  <c r="C4" i="3"/>
  <c r="D4" i="3" s="1"/>
  <c r="C3" i="3"/>
  <c r="D3" i="3" s="1"/>
  <c r="C2" i="3"/>
  <c r="D2" i="3" s="1"/>
  <c r="N25" i="2"/>
  <c r="B9" i="5" s="1"/>
  <c r="M25" i="2"/>
  <c r="B8" i="5" s="1"/>
  <c r="K25" i="2"/>
  <c r="L25" i="2" s="1"/>
  <c r="B7" i="5" s="1"/>
  <c r="D25" i="2"/>
  <c r="N24" i="2"/>
  <c r="M24" i="2"/>
  <c r="K24" i="2"/>
  <c r="L24" i="2" s="1"/>
  <c r="D24" i="2"/>
  <c r="N23" i="2"/>
  <c r="M23" i="2"/>
  <c r="K23" i="2"/>
  <c r="L23" i="2" s="1"/>
  <c r="D23" i="2"/>
  <c r="N22" i="2"/>
  <c r="M22" i="2"/>
  <c r="K22" i="2"/>
  <c r="L22" i="2" s="1"/>
  <c r="D22" i="2"/>
  <c r="N21" i="2"/>
  <c r="M21" i="2"/>
  <c r="K21" i="2"/>
  <c r="L21" i="2" s="1"/>
  <c r="D21" i="2"/>
  <c r="N20" i="2"/>
  <c r="M20" i="2"/>
  <c r="K20" i="2"/>
  <c r="L20" i="2" s="1"/>
  <c r="D20" i="2"/>
  <c r="N19" i="2"/>
  <c r="M19" i="2"/>
  <c r="K19" i="2"/>
  <c r="L19" i="2" s="1"/>
  <c r="D19" i="2"/>
  <c r="N18" i="2"/>
  <c r="M18" i="2"/>
  <c r="K18" i="2"/>
  <c r="L18" i="2" s="1"/>
  <c r="D18" i="2"/>
  <c r="N17" i="2"/>
  <c r="M17" i="2"/>
  <c r="K17" i="2"/>
  <c r="L17" i="2" s="1"/>
  <c r="D17" i="2"/>
  <c r="N16" i="2"/>
  <c r="M16" i="2"/>
  <c r="K16" i="2"/>
  <c r="L16" i="2" s="1"/>
  <c r="D16" i="2"/>
  <c r="N15" i="2"/>
  <c r="M15" i="2"/>
  <c r="K15" i="2"/>
  <c r="L15" i="2" s="1"/>
  <c r="D15" i="2"/>
  <c r="N14" i="2"/>
  <c r="M14" i="2"/>
  <c r="K14" i="2"/>
  <c r="L14" i="2" s="1"/>
  <c r="D14" i="2"/>
  <c r="N13" i="2"/>
  <c r="M13" i="2"/>
  <c r="K13" i="2"/>
  <c r="L13" i="2" s="1"/>
  <c r="D13" i="2"/>
  <c r="N12" i="2"/>
  <c r="M12" i="2"/>
  <c r="K12" i="2"/>
  <c r="L12" i="2" s="1"/>
  <c r="D12" i="2"/>
  <c r="N11" i="2"/>
  <c r="M11" i="2"/>
  <c r="K11" i="2"/>
  <c r="L11" i="2" s="1"/>
  <c r="D11" i="2"/>
  <c r="N10" i="2"/>
  <c r="M10" i="2"/>
  <c r="K10" i="2"/>
  <c r="L10" i="2" s="1"/>
  <c r="D10" i="2"/>
  <c r="N9" i="2"/>
  <c r="M9" i="2"/>
  <c r="K9" i="2"/>
  <c r="L9" i="2" s="1"/>
  <c r="D9" i="2"/>
  <c r="N8" i="2"/>
  <c r="M8" i="2"/>
  <c r="K8" i="2"/>
  <c r="L8" i="2" s="1"/>
  <c r="D8" i="2"/>
  <c r="N7" i="2"/>
  <c r="M7" i="2"/>
  <c r="K7" i="2"/>
  <c r="L7" i="2" s="1"/>
  <c r="D7" i="2"/>
  <c r="N6" i="2"/>
  <c r="M6" i="2"/>
  <c r="K6" i="2"/>
  <c r="L6" i="2" s="1"/>
  <c r="D6" i="2"/>
  <c r="N5" i="2"/>
  <c r="M5" i="2"/>
  <c r="K5" i="2"/>
  <c r="L5" i="2" s="1"/>
  <c r="D5" i="2"/>
  <c r="N4" i="2"/>
  <c r="M4" i="2"/>
  <c r="K4" i="2"/>
  <c r="L4" i="2" s="1"/>
  <c r="D4" i="2"/>
  <c r="N3" i="2"/>
  <c r="M3" i="2"/>
  <c r="K3" i="2"/>
  <c r="L3" i="2" s="1"/>
  <c r="D3" i="2"/>
  <c r="K2" i="2"/>
  <c r="L2" i="2" s="1"/>
  <c r="D2" i="2"/>
  <c r="F25" i="3" l="1"/>
  <c r="E25" i="3"/>
  <c r="F24" i="3"/>
  <c r="E24" i="3"/>
  <c r="B27" i="3" s="1"/>
  <c r="B10" i="5" s="1"/>
  <c r="E23" i="3"/>
  <c r="F23" i="3"/>
  <c r="E22" i="3"/>
  <c r="F22" i="3"/>
  <c r="E21" i="3"/>
  <c r="F21" i="3"/>
  <c r="E20" i="3"/>
  <c r="F20" i="3"/>
  <c r="E19" i="3"/>
  <c r="F19" i="3"/>
  <c r="E18" i="3"/>
  <c r="F18" i="3"/>
  <c r="E17" i="3"/>
  <c r="F17" i="3"/>
  <c r="E16" i="3"/>
  <c r="F16" i="3"/>
  <c r="E15" i="3"/>
  <c r="F15" i="3"/>
  <c r="E14" i="3"/>
  <c r="F14" i="3"/>
  <c r="E13" i="3"/>
  <c r="F13" i="3"/>
  <c r="E12" i="3"/>
  <c r="F12" i="3"/>
  <c r="E11" i="3"/>
  <c r="F11" i="3"/>
  <c r="E10" i="3"/>
  <c r="F10" i="3"/>
  <c r="E9" i="3"/>
  <c r="F9" i="3"/>
  <c r="E8" i="3"/>
  <c r="F8" i="3"/>
  <c r="E7" i="3"/>
  <c r="F7" i="3"/>
  <c r="E6" i="3"/>
  <c r="F6" i="3"/>
  <c r="E5" i="3"/>
  <c r="F5" i="3"/>
  <c r="E4" i="3"/>
  <c r="F4" i="3"/>
  <c r="E3" i="3"/>
  <c r="F3" i="3"/>
  <c r="E2" i="3"/>
  <c r="F2" i="3"/>
</calcChain>
</file>

<file path=xl/sharedStrings.xml><?xml version="1.0" encoding="utf-8"?>
<sst xmlns="http://schemas.openxmlformats.org/spreadsheetml/2006/main" count="134" uniqueCount="81">
  <si>
    <t>SaaS Finance &amp; Revenue Analytics Model</t>
  </si>
  <si>
    <t>Excel + Power BI practice project — built to accompany the Power BI dashboard</t>
  </si>
  <si>
    <t>How this workbook is organized:</t>
  </si>
  <si>
    <t>Month</t>
  </si>
  <si>
    <t>Active Customers</t>
  </si>
  <si>
    <t>Total MRR</t>
  </si>
  <si>
    <t>ARR</t>
  </si>
  <si>
    <t>New MRR</t>
  </si>
  <si>
    <t>Expansion MRR</t>
  </si>
  <si>
    <t>Contraction MRR</t>
  </si>
  <si>
    <t>Churned MRR</t>
  </si>
  <si>
    <t>Reactivation MRR</t>
  </si>
  <si>
    <t>Total COGS</t>
  </si>
  <si>
    <t>Gross Margin $</t>
  </si>
  <si>
    <t>Gross Margin %</t>
  </si>
  <si>
    <t>Churn Rate %</t>
  </si>
  <si>
    <t>Net Revenue Retention %</t>
  </si>
  <si>
    <t>Sep-2024</t>
  </si>
  <si>
    <t>n/a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</si>
  <si>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</si>
  <si>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</si>
  <si>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</si>
  <si>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</si>
  <si>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</si>
  <si>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</si>
  <si>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</si>
  <si>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</si>
  <si>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</si>
  <si>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</si>
  <si>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</si>
  <si>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</si>
  <si>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</si>
  <si>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</si>
  <si>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</si>
  <si>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</si>
  <si>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</si>
  <si>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</si>
  <si>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</si>
  <si>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</si>
  <si>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</si>
  <si>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</si>
  <si>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</si>
  <si>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Budget Revenue</t>
  </si>
  <si>
    <t>Actual Revenue</t>
  </si>
  <si>
    <t>Variance $</t>
  </si>
  <si>
    <t>Variance %</t>
  </si>
  <si>
    <t>Status</t>
  </si>
  <si>
    <t>Trailing 3-Month Avg Variance %</t>
  </si>
  <si>
    <t>Actual MRR</t>
  </si>
  <si>
    <t>Forecast MRR</t>
  </si>
  <si>
    <t>MonthIndex</t>
  </si>
  <si>
    <t>Sep-2026</t>
  </si>
  <si>
    <t>Oct-2026</t>
  </si>
  <si>
    <t>Nov-2026</t>
  </si>
  <si>
    <t>Dec-2026</t>
  </si>
  <si>
    <t>Jan-2027</t>
  </si>
  <si>
    <t>Feb-2027</t>
  </si>
  <si>
    <t>SaaS KPI Summary — Latest Month</t>
  </si>
  <si>
    <t>Metric</t>
  </si>
  <si>
    <t>Value</t>
  </si>
  <si>
    <t>Definition</t>
  </si>
  <si>
    <t>ARR (Annual Recurring Revenue)</t>
  </si>
  <si>
    <t>Ending MRR x 12. Headline SaaS scale metric.</t>
  </si>
  <si>
    <t>ACV (Average Contract Value)</t>
  </si>
  <si>
    <t>ARR divided by active customer count — average annual value per account.</t>
  </si>
  <si>
    <t>MRR (Monthly Recurring Revenue)</t>
  </si>
  <si>
    <t>Predictable monthly subscription revenue for the latest month.</t>
  </si>
  <si>
    <t>(MRR - COGS) / MRR — profitability of the recurring revenue base.</t>
  </si>
  <si>
    <t>Monthly Churn Rate %</t>
  </si>
  <si>
    <t>Churned MRR / prior month Total MRR.</t>
  </si>
  <si>
    <t>(Prior MRR + Expansion + Contraction - Churn) / Prior MRR. &gt;100% = expansion outpaces churn.</t>
  </si>
  <si>
    <t>Trailing 3-Month Avg Budget Variance %</t>
  </si>
  <si>
    <t>How actual revenue has tracked vs. budget over the last 3 months.</t>
  </si>
  <si>
    <t>6-Month Forecast MRR (next period)</t>
  </si>
  <si>
    <t>FORECAST.LINEAR trend projection for the month after the latest actual.</t>
  </si>
  <si>
    <t>1. Monthly_Actuals - the source-of-truth monthly SaaS metrics (MRR, ARR, movements, Gross Margin, churn, NRR).</t>
  </si>
  <si>
    <t>2. Budget_vs_Actual - budget targets vs. actuals, variance $ and %, RAG status.</t>
  </si>
  <si>
    <t>3. Revenue_Forecast - FORECAST.LINEAR projection for the next 6 months based on trailing actuals.</t>
  </si>
  <si>
    <t>4. KPI_Summary - headline SaaS KPIs (ARR, ACV, Gross Margin %, Churn Rate, NRR) with live formulas.</t>
  </si>
  <si>
    <t>All figures are synthetic/sample data generated for practice - not real company data.</t>
  </si>
  <si>
    <t>Every yellow-highlighted cell is a live formula, not a hard-coded value - walk through them before your interview.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</si>
</sst>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4" fontId="0" fillId="0" borderId="0" xfId="0" applyNumberFormat="1"/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4" fillId="0" borderId="0" xfId="0" applyFont="1"/>
    <xf numFmtId="3" fontId="0" fillId="3" borderId="0" xfId="0" applyNumberFormat="1" applyFill="1"/>
    <xf numFmtId="0" fontId="0" fillId="0" borderId="0" xfId="0" applyAlignment="1">
      <alignment wrapText="1"/>
    </xf>
    <xf numFmtId="4" fontId="0" fillId="3" borderId="0" xfId="0" applyNumberFormat="1" applyFill="1"/>
    <xf numFmtId="164" fontId="0" fillId="3" borderId="0" xfId="0" applyNumberFormat="1" applyFill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Budget vs Actual Revenue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Budget_vs_Actual!$B$1</c:f>
              <c:strCache>
                <c:ptCount val="1"/>
                <c:pt idx="0">
                  <c:v>Budget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Budget_vs_Actual!$A$2:$A$25</c:f>
              <c:strCache>
                <c:ptCount val="24"/>
                <c:pt idx="0">
                  <c:v>Sep-2024</c:v>
                </c:pt>
                <c:pt idx="1">
                  <c:v>Oct-2024</c:v>
                </c:pt>
                <c:pt idx="2">
                  <c:v>Nov-2024</c:v>
                </c:pt>
                <c:pt idx="3">
                  <c:v>Dec-2024</c:v>
                </c:pt>
                <c:pt idx="4">
                  <c:v>Jan-2025</c:v>
                </c:pt>
                <c:pt idx="5">
                  <c:v>Feb-2025</c:v>
                </c:pt>
                <c:pt idx="6">
                  <c:v>Mar-2025</c:v>
                </c:pt>
                <c:pt idx="7">
                  <c:v>Apr-2025</c:v>
                </c:pt>
                <c:pt idx="8">
                  <c:v>May-2025</c:v>
                </c:pt>
                <c:pt idx="9">
                  <c:v>Jun-2025</c:v>
                </c:pt>
                <c:pt idx="10">
                  <c:v>Jul-2025</c:v>
                </c:pt>
                <c:pt idx="11">
                  <c:v>Aug-2025</c:v>
                </c:pt>
                <c:pt idx="12">
                  <c:v>Sep-2025</c:v>
                </c:pt>
                <c:pt idx="13">
                  <c:v>Oct-2025</c:v>
                </c:pt>
                <c:pt idx="14">
                  <c:v>Nov-2025</c:v>
                </c:pt>
                <c:pt idx="15">
                  <c:v>Dec-2025</c:v>
                </c:pt>
                <c:pt idx="16">
                  <c:v>Jan-2026</c:v>
                </c:pt>
                <c:pt idx="17">
                  <c:v>Feb-2026</c:v>
                </c:pt>
                <c:pt idx="18">
                  <c:v>Mar-2026</c:v>
                </c:pt>
                <c:pt idx="19">
                  <c:v>Apr-2026</c:v>
                </c:pt>
                <c:pt idx="20">
                  <c:v>May-2026</c:v>
                </c:pt>
                <c:pt idx="21">
                  <c:v>Jun-2026</c:v>
                </c:pt>
                <c:pt idx="22">
                  <c:v>Jul-2026</c:v>
                </c:pt>
                <c:pt idx="23">
                  <c:v>Aug-2026</c:v>
                </c:pt>
              </c:strCache>
            </c:strRef>
          </c:cat>
          <c:val>
            <c:numRef>
              <c:f>Budget_vs_Actual!$B$2:$B$25</c:f>
              <c:numCache>
                <c:formatCode>#,##0.00</c:formatCode>
                <c:ptCount val="24"/>
                <c:pt idx="0">
                  <c:v>804.95</c:v>
                </c:pt>
                <c:pt idx="1">
                  <c:v>3356.91</c:v>
                </c:pt>
                <c:pt idx="2">
                  <c:v>6095.36</c:v>
                </c:pt>
                <c:pt idx="3">
                  <c:v>8896.77</c:v>
                </c:pt>
                <c:pt idx="4">
                  <c:v>11060.37</c:v>
                </c:pt>
                <c:pt idx="5">
                  <c:v>14088.64</c:v>
                </c:pt>
                <c:pt idx="6">
                  <c:v>16753.580000000002</c:v>
                </c:pt>
                <c:pt idx="7">
                  <c:v>18057.75</c:v>
                </c:pt>
                <c:pt idx="8">
                  <c:v>22986.68</c:v>
                </c:pt>
                <c:pt idx="9">
                  <c:v>25348.880000000001</c:v>
                </c:pt>
                <c:pt idx="10">
                  <c:v>26734.99</c:v>
                </c:pt>
                <c:pt idx="11">
                  <c:v>29881.23</c:v>
                </c:pt>
                <c:pt idx="12">
                  <c:v>33416.42</c:v>
                </c:pt>
                <c:pt idx="13">
                  <c:v>35050.79</c:v>
                </c:pt>
                <c:pt idx="14">
                  <c:v>37717.96</c:v>
                </c:pt>
                <c:pt idx="15">
                  <c:v>38385.449999999997</c:v>
                </c:pt>
                <c:pt idx="16">
                  <c:v>44384.42</c:v>
                </c:pt>
                <c:pt idx="17">
                  <c:v>46316.27</c:v>
                </c:pt>
                <c:pt idx="18">
                  <c:v>49289.85</c:v>
                </c:pt>
                <c:pt idx="19">
                  <c:v>48281.47</c:v>
                </c:pt>
                <c:pt idx="20">
                  <c:v>57659.33</c:v>
                </c:pt>
                <c:pt idx="21">
                  <c:v>57105.08</c:v>
                </c:pt>
                <c:pt idx="22">
                  <c:v>58501.23</c:v>
                </c:pt>
                <c:pt idx="23">
                  <c:v>67127.360000000001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14-AC4A-A004-55FD395BA424}"/>
            </c:ext>
          </c:extLst>
        </c:ser>
        <c:ser>
          <c:idx val="1"/>
          <c:order val="1"/>
          <c:tx>
            <c:strRef>
              <c:f>Budget_vs_Actual!$C$1</c:f>
              <c:strCache>
                <c:ptCount val="1"/>
                <c:pt idx="0">
                  <c:v>Actual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Budget_vs_Actual!$A$2:$A$25</c:f>
              <c:strCache>
                <c:ptCount val="24"/>
                <c:pt idx="0">
                  <c:v>Sep-2024</c:v>
                </c:pt>
                <c:pt idx="1">
                  <c:v>Oct-2024</c:v>
                </c:pt>
                <c:pt idx="2">
                  <c:v>Nov-2024</c:v>
                </c:pt>
                <c:pt idx="3">
                  <c:v>Dec-2024</c:v>
                </c:pt>
                <c:pt idx="4">
                  <c:v>Jan-2025</c:v>
                </c:pt>
                <c:pt idx="5">
                  <c:v>Feb-2025</c:v>
                </c:pt>
                <c:pt idx="6">
                  <c:v>Mar-2025</c:v>
                </c:pt>
                <c:pt idx="7">
                  <c:v>Apr-2025</c:v>
                </c:pt>
                <c:pt idx="8">
                  <c:v>May-2025</c:v>
                </c:pt>
                <c:pt idx="9">
                  <c:v>Jun-2025</c:v>
                </c:pt>
                <c:pt idx="10">
                  <c:v>Jul-2025</c:v>
                </c:pt>
                <c:pt idx="11">
                  <c:v>Aug-2025</c:v>
                </c:pt>
                <c:pt idx="12">
                  <c:v>Sep-2025</c:v>
                </c:pt>
                <c:pt idx="13">
                  <c:v>Oct-2025</c:v>
                </c:pt>
                <c:pt idx="14">
                  <c:v>Nov-2025</c:v>
                </c:pt>
                <c:pt idx="15">
                  <c:v>Dec-2025</c:v>
                </c:pt>
                <c:pt idx="16">
                  <c:v>Jan-2026</c:v>
                </c:pt>
                <c:pt idx="17">
                  <c:v>Feb-2026</c:v>
                </c:pt>
                <c:pt idx="18">
                  <c:v>Mar-2026</c:v>
                </c:pt>
                <c:pt idx="19">
                  <c:v>Apr-2026</c:v>
                </c:pt>
                <c:pt idx="20">
                  <c:v>May-2026</c:v>
                </c:pt>
                <c:pt idx="21">
                  <c:v>Jun-2026</c:v>
                </c:pt>
                <c:pt idx="22">
                  <c:v>Jul-2026</c:v>
                </c:pt>
                <c:pt idx="23">
                  <c:v>Aug-2026</c:v>
                </c:pt>
              </c:strCache>
            </c:strRef>
          </c:cat>
          <c:val>
            <c:numRef>
              <c:f>Budget_vs_Actual!$C$2:$C$25</c:f>
              <c:numCache>
                <c:formatCode>#,##0.00</c:formatCode>
                <c:ptCount val="24"/>
                <c:pt idx="0">
                  <c:v>777.28</c:v>
                </c:pt>
                <c:pt idx="1">
                  <c:v>4427.2700000000004</c:v>
                </c:pt>
                <c:pt idx="2">
                  <c:v>6803.45</c:v>
                </c:pt>
                <c:pt idx="3">
                  <c:v>8190.97</c:v>
                </c:pt>
                <c:pt idx="4">
                  <c:v>10121.790000000001</c:v>
                </c:pt>
                <c:pt idx="5">
                  <c:v>14631.05</c:v>
                </c:pt>
                <c:pt idx="6">
                  <c:v>17626.61</c:v>
                </c:pt>
                <c:pt idx="7">
                  <c:v>20141.11</c:v>
                </c:pt>
                <c:pt idx="8">
                  <c:v>25369.79</c:v>
                </c:pt>
                <c:pt idx="9">
                  <c:v>28818.52</c:v>
                </c:pt>
                <c:pt idx="10">
                  <c:v>29526.23</c:v>
                </c:pt>
                <c:pt idx="11">
                  <c:v>35240.559999999998</c:v>
                </c:pt>
                <c:pt idx="12">
                  <c:v>37696.85</c:v>
                </c:pt>
                <c:pt idx="13">
                  <c:v>37739.4</c:v>
                </c:pt>
                <c:pt idx="14">
                  <c:v>39600.629999999997</c:v>
                </c:pt>
                <c:pt idx="15">
                  <c:v>40964.11</c:v>
                </c:pt>
                <c:pt idx="16">
                  <c:v>41743.26</c:v>
                </c:pt>
                <c:pt idx="17">
                  <c:v>44762.01</c:v>
                </c:pt>
                <c:pt idx="18">
                  <c:v>47452.75</c:v>
                </c:pt>
                <c:pt idx="19">
                  <c:v>50608.99</c:v>
                </c:pt>
                <c:pt idx="20">
                  <c:v>49430.65</c:v>
                </c:pt>
                <c:pt idx="21">
                  <c:v>52075.7</c:v>
                </c:pt>
                <c:pt idx="22">
                  <c:v>55062.95</c:v>
                </c:pt>
                <c:pt idx="23">
                  <c:v>58573.69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14-AC4A-A004-55FD395BA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 Revenue (EUR)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MRR — Actuals &amp; 6-Month Forecast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Revenue_Forecast!$B$1</c:f>
              <c:strCache>
                <c:ptCount val="1"/>
                <c:pt idx="0">
                  <c:v>Actual MRR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Revenue_Forecast!$A$2:$A$31</c:f>
              <c:strCache>
                <c:ptCount val="30"/>
                <c:pt idx="0">
                  <c:v>Sep-2024</c:v>
                </c:pt>
                <c:pt idx="1">
                  <c:v>Oct-2024</c:v>
                </c:pt>
                <c:pt idx="2">
                  <c:v>Nov-2024</c:v>
                </c:pt>
                <c:pt idx="3">
                  <c:v>Dec-2024</c:v>
                </c:pt>
                <c:pt idx="4">
                  <c:v>Jan-2025</c:v>
                </c:pt>
                <c:pt idx="5">
                  <c:v>Feb-2025</c:v>
                </c:pt>
                <c:pt idx="6">
                  <c:v>Mar-2025</c:v>
                </c:pt>
                <c:pt idx="7">
                  <c:v>Apr-2025</c:v>
                </c:pt>
                <c:pt idx="8">
                  <c:v>May-2025</c:v>
                </c:pt>
                <c:pt idx="9">
                  <c:v>Jun-2025</c:v>
                </c:pt>
                <c:pt idx="10">
                  <c:v>Jul-2025</c:v>
                </c:pt>
                <c:pt idx="11">
                  <c:v>Aug-2025</c:v>
                </c:pt>
                <c:pt idx="12">
                  <c:v>Sep-2025</c:v>
                </c:pt>
                <c:pt idx="13">
                  <c:v>Oct-2025</c:v>
                </c:pt>
                <c:pt idx="14">
                  <c:v>Nov-2025</c:v>
                </c:pt>
                <c:pt idx="15">
                  <c:v>Dec-2025</c:v>
                </c:pt>
                <c:pt idx="16">
                  <c:v>Jan-2026</c:v>
                </c:pt>
                <c:pt idx="17">
                  <c:v>Feb-2026</c:v>
                </c:pt>
                <c:pt idx="18">
                  <c:v>Mar-2026</c:v>
                </c:pt>
                <c:pt idx="19">
                  <c:v>Apr-2026</c:v>
                </c:pt>
                <c:pt idx="20">
                  <c:v>May-2026</c:v>
                </c:pt>
                <c:pt idx="21">
                  <c:v>Jun-2026</c:v>
                </c:pt>
                <c:pt idx="22">
                  <c:v>Jul-2026</c:v>
                </c:pt>
                <c:pt idx="23">
                  <c:v>Aug-2026</c:v>
                </c:pt>
                <c:pt idx="24">
                  <c:v>Sep-2026</c:v>
                </c:pt>
                <c:pt idx="25">
                  <c:v>Oct-2026</c:v>
                </c:pt>
                <c:pt idx="26">
                  <c:v>Nov-2026</c:v>
                </c:pt>
                <c:pt idx="27">
                  <c:v>Dec-2026</c:v>
                </c:pt>
                <c:pt idx="28">
                  <c:v>Jan-2027</c:v>
                </c:pt>
                <c:pt idx="29">
                  <c:v>Feb-2027</c:v>
                </c:pt>
              </c:strCache>
            </c:strRef>
          </c:cat>
          <c:val>
            <c:numRef>
              <c:f>Revenue_Forecast!$B$2:$B$31</c:f>
              <c:numCache>
                <c:formatCode>#,##0</c:formatCode>
                <c:ptCount val="30"/>
                <c:pt idx="0">
                  <c:v>777.28</c:v>
                </c:pt>
                <c:pt idx="1">
                  <c:v>4427.2700000000004</c:v>
                </c:pt>
                <c:pt idx="2">
                  <c:v>6803.45</c:v>
                </c:pt>
                <c:pt idx="3">
                  <c:v>8190.97</c:v>
                </c:pt>
                <c:pt idx="4">
                  <c:v>10121.790000000001</c:v>
                </c:pt>
                <c:pt idx="5">
                  <c:v>14631.05</c:v>
                </c:pt>
                <c:pt idx="6">
                  <c:v>17626.61</c:v>
                </c:pt>
                <c:pt idx="7">
                  <c:v>20141.11</c:v>
                </c:pt>
                <c:pt idx="8">
                  <c:v>25369.79</c:v>
                </c:pt>
                <c:pt idx="9">
                  <c:v>28818.52</c:v>
                </c:pt>
                <c:pt idx="10">
                  <c:v>29526.23</c:v>
                </c:pt>
                <c:pt idx="11">
                  <c:v>35240.559999999998</c:v>
                </c:pt>
                <c:pt idx="12">
                  <c:v>37696.85</c:v>
                </c:pt>
                <c:pt idx="13">
                  <c:v>37739.4</c:v>
                </c:pt>
                <c:pt idx="14">
                  <c:v>39600.629999999997</c:v>
                </c:pt>
                <c:pt idx="15">
                  <c:v>40964.11</c:v>
                </c:pt>
                <c:pt idx="16">
                  <c:v>41743.26</c:v>
                </c:pt>
                <c:pt idx="17">
                  <c:v>44762.01</c:v>
                </c:pt>
                <c:pt idx="18">
                  <c:v>47452.75</c:v>
                </c:pt>
                <c:pt idx="19">
                  <c:v>50608.99</c:v>
                </c:pt>
                <c:pt idx="20">
                  <c:v>49430.65</c:v>
                </c:pt>
                <c:pt idx="21">
                  <c:v>52075.7</c:v>
                </c:pt>
                <c:pt idx="22">
                  <c:v>55062.95</c:v>
                </c:pt>
                <c:pt idx="23">
                  <c:v>58573.69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9B-3440-993C-865BE1BC44F8}"/>
            </c:ext>
          </c:extLst>
        </c:ser>
        <c:ser>
          <c:idx val="1"/>
          <c:order val="1"/>
          <c:tx>
            <c:strRef>
              <c:f>Revenue_Forecast!$C$1</c:f>
              <c:strCache>
                <c:ptCount val="1"/>
                <c:pt idx="0">
                  <c:v>Forecast MRR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Revenue_Forecast!$A$2:$A$31</c:f>
              <c:strCache>
                <c:ptCount val="30"/>
                <c:pt idx="0">
                  <c:v>Sep-2024</c:v>
                </c:pt>
                <c:pt idx="1">
                  <c:v>Oct-2024</c:v>
                </c:pt>
                <c:pt idx="2">
                  <c:v>Nov-2024</c:v>
                </c:pt>
                <c:pt idx="3">
                  <c:v>Dec-2024</c:v>
                </c:pt>
                <c:pt idx="4">
                  <c:v>Jan-2025</c:v>
                </c:pt>
                <c:pt idx="5">
                  <c:v>Feb-2025</c:v>
                </c:pt>
                <c:pt idx="6">
                  <c:v>Mar-2025</c:v>
                </c:pt>
                <c:pt idx="7">
                  <c:v>Apr-2025</c:v>
                </c:pt>
                <c:pt idx="8">
                  <c:v>May-2025</c:v>
                </c:pt>
                <c:pt idx="9">
                  <c:v>Jun-2025</c:v>
                </c:pt>
                <c:pt idx="10">
                  <c:v>Jul-2025</c:v>
                </c:pt>
                <c:pt idx="11">
                  <c:v>Aug-2025</c:v>
                </c:pt>
                <c:pt idx="12">
                  <c:v>Sep-2025</c:v>
                </c:pt>
                <c:pt idx="13">
                  <c:v>Oct-2025</c:v>
                </c:pt>
                <c:pt idx="14">
                  <c:v>Nov-2025</c:v>
                </c:pt>
                <c:pt idx="15">
                  <c:v>Dec-2025</c:v>
                </c:pt>
                <c:pt idx="16">
                  <c:v>Jan-2026</c:v>
                </c:pt>
                <c:pt idx="17">
                  <c:v>Feb-2026</c:v>
                </c:pt>
                <c:pt idx="18">
                  <c:v>Mar-2026</c:v>
                </c:pt>
                <c:pt idx="19">
                  <c:v>Apr-2026</c:v>
                </c:pt>
                <c:pt idx="20">
                  <c:v>May-2026</c:v>
                </c:pt>
                <c:pt idx="21">
                  <c:v>Jun-2026</c:v>
                </c:pt>
                <c:pt idx="22">
                  <c:v>Jul-2026</c:v>
                </c:pt>
                <c:pt idx="23">
                  <c:v>Aug-2026</c:v>
                </c:pt>
                <c:pt idx="24">
                  <c:v>Sep-2026</c:v>
                </c:pt>
                <c:pt idx="25">
                  <c:v>Oct-2026</c:v>
                </c:pt>
                <c:pt idx="26">
                  <c:v>Nov-2026</c:v>
                </c:pt>
                <c:pt idx="27">
                  <c:v>Dec-2026</c:v>
                </c:pt>
                <c:pt idx="28">
                  <c:v>Jan-2027</c:v>
                </c:pt>
                <c:pt idx="29">
                  <c:v>Feb-2027</c:v>
                </c:pt>
              </c:strCache>
            </c:strRef>
          </c:cat>
          <c:val>
            <c:numRef>
              <c:f>Revenue_Forecast!$C$2:$C$31</c:f>
              <c:numCache>
                <c:formatCode>#,##0</c:formatCode>
                <c:ptCount val="30"/>
                <c:pt idx="23">
                  <c:v>58573.69</c:v>
                </c:pt>
                <c:pt idx="24">
                  <c:v>62378.27471014492</c:v>
                </c:pt>
                <c:pt idx="25">
                  <c:v>64843.917953623182</c:v>
                </c:pt>
                <c:pt idx="26">
                  <c:v>67309.561197101444</c:v>
                </c:pt>
                <c:pt idx="27">
                  <c:v>69775.204440579706</c:v>
                </c:pt>
                <c:pt idx="28">
                  <c:v>72240.847684057968</c:v>
                </c:pt>
                <c:pt idx="29">
                  <c:v>74706.49092753623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39B-3440-993C-865BE1BC4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MRR (EUR)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86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86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12" sqref="A12"/>
    </sheetView>
  </sheetViews>
  <sheetFormatPr baseColWidth="10" defaultColWidth="8.83203125" defaultRowHeight="15" x14ac:dyDescent="0.2"/>
  <cols>
    <col min="1" max="1" width="110" customWidth="1"/>
  </cols>
  <sheetData>
    <row r="1" spans="1:1" ht="19" x14ac:dyDescent="0.25">
      <c r="A1" s="1" t="s">
        <v>0</v>
      </c>
    </row>
    <row r="2" spans="1:1" x14ac:dyDescent="0.2">
      <c r="A2" s="2" t="s">
        <v>1</v>
      </c>
    </row>
    <row r="4" spans="1:1" x14ac:dyDescent="0.2">
      <c r="A4" t="s">
        <v>2</v>
      </c>
    </row>
    <row r="5" spans="1:1" x14ac:dyDescent="0.2">
      <c r="A5" t="s">
        <v>75</v>
      </c>
    </row>
    <row r="6" spans="1:1" x14ac:dyDescent="0.2">
      <c r="A6" t="s">
        <v>76</v>
      </c>
    </row>
    <row r="7" spans="1:1" x14ac:dyDescent="0.2">
      <c r="A7" t="s">
        <v>77</v>
      </c>
    </row>
    <row r="8" spans="1:1" x14ac:dyDescent="0.2">
      <c r="A8" t="s">
        <v>78</v>
      </c>
    </row>
    <row r="10" spans="1:1" x14ac:dyDescent="0.2">
      <c r="A10" t="s">
        <v>79</v>
      </c>
    </row>
    <row r="11" spans="1:1" x14ac:dyDescent="0.2">
      <c r="A11" t="s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5" customWidth="1"/>
    <col min="3" max="3" width="12" customWidth="1"/>
    <col min="4" max="4" width="14" customWidth="1"/>
    <col min="5" max="5" width="11" customWidth="1"/>
    <col min="6" max="6" width="14" customWidth="1"/>
    <col min="7" max="7" width="15" customWidth="1"/>
    <col min="8" max="8" width="12" customWidth="1"/>
    <col min="9" max="9" width="15" customWidth="1"/>
    <col min="10" max="10" width="12" customWidth="1"/>
    <col min="11" max="11" width="13" customWidth="1"/>
    <col min="12" max="13" width="12" customWidth="1"/>
    <col min="14" max="14" width="20" customWidth="1"/>
  </cols>
  <sheetData>
    <row r="1" spans="1:14" x14ac:dyDescent="0.2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</row>
    <row r="2" spans="1:14" x14ac:dyDescent="0.2">
      <c r="A2" t="s">
        <v>17</v>
      </c>
      <c r="B2">
        <v>3</v>
      </c>
      <c r="C2" s="4">
        <v>777.28</v>
      </c>
      <c r="D2" s="5">
        <f t="shared" ref="D2:D25" si="0">C2*12</f>
        <v>9327.36</v>
      </c>
      <c r="E2" s="4">
        <v>777.28</v>
      </c>
      <c r="F2" s="4">
        <v>0</v>
      </c>
      <c r="G2" s="4">
        <v>0</v>
      </c>
      <c r="H2" s="4">
        <v>0</v>
      </c>
      <c r="I2" s="4">
        <v>0</v>
      </c>
      <c r="J2" s="4">
        <v>217.13</v>
      </c>
      <c r="K2" s="4">
        <f t="shared" ref="K2:K25" si="1">C2-J2</f>
        <v>560.15</v>
      </c>
      <c r="L2" s="6">
        <f t="shared" ref="L2:L25" si="2">K2/C2</f>
        <v>0.720654075751338</v>
      </c>
      <c r="M2" t="s">
        <v>18</v>
      </c>
      <c r="N2" t="s">
        <v>18</v>
      </c>
    </row>
    <row r="3" spans="1:14" x14ac:dyDescent="0.2">
      <c r="A3" t="s">
        <v>19</v>
      </c>
      <c r="B3">
        <v>9</v>
      </c>
      <c r="C3" s="4">
        <v>4427.2700000000004</v>
      </c>
      <c r="D3" s="5">
        <f t="shared" si="0"/>
        <v>53127.240000000005</v>
      </c>
      <c r="E3" s="4">
        <v>3649.99</v>
      </c>
      <c r="F3" s="4">
        <v>0</v>
      </c>
      <c r="G3" s="4">
        <v>0</v>
      </c>
      <c r="H3" s="4">
        <v>0</v>
      </c>
      <c r="I3" s="4">
        <v>0</v>
      </c>
      <c r="J3" s="4">
        <v>1035.52</v>
      </c>
      <c r="K3" s="4">
        <f t="shared" si="1"/>
        <v>3391.7500000000005</v>
      </c>
      <c r="L3" s="6">
        <f t="shared" si="2"/>
        <v>0.76610416803131509</v>
      </c>
      <c r="M3" s="7">
        <f t="shared" ref="M3:M25" si="3">H3/C2</f>
        <v>0</v>
      </c>
      <c r="N3" s="6">
        <f t="shared" ref="N3:N25" si="4">(C2+F3+G3-H3)/C2</f>
        <v>1</v>
      </c>
    </row>
    <row r="4" spans="1:14" x14ac:dyDescent="0.2">
      <c r="A4" t="s">
        <v>20</v>
      </c>
      <c r="B4">
        <v>12</v>
      </c>
      <c r="C4" s="4">
        <v>6803.45</v>
      </c>
      <c r="D4" s="5">
        <f t="shared" si="0"/>
        <v>81641.399999999994</v>
      </c>
      <c r="E4" s="4">
        <v>2461.34</v>
      </c>
      <c r="F4" s="4">
        <v>0</v>
      </c>
      <c r="G4" s="4">
        <v>0</v>
      </c>
      <c r="H4" s="4">
        <v>85.16</v>
      </c>
      <c r="I4" s="4">
        <v>0</v>
      </c>
      <c r="J4" s="4">
        <v>1604.75</v>
      </c>
      <c r="K4" s="4">
        <f t="shared" si="1"/>
        <v>5198.7</v>
      </c>
      <c r="L4" s="6">
        <f t="shared" si="2"/>
        <v>0.76412702378940101</v>
      </c>
      <c r="M4" s="7">
        <f t="shared" si="3"/>
        <v>1.9235330124433341E-2</v>
      </c>
      <c r="N4" s="6">
        <f t="shared" si="4"/>
        <v>0.98076466987556665</v>
      </c>
    </row>
    <row r="5" spans="1:14" x14ac:dyDescent="0.2">
      <c r="A5" t="s">
        <v>21</v>
      </c>
      <c r="B5">
        <v>15</v>
      </c>
      <c r="C5" s="4">
        <v>8190.97</v>
      </c>
      <c r="D5" s="5">
        <f t="shared" si="0"/>
        <v>98291.64</v>
      </c>
      <c r="E5" s="4">
        <v>1224.98</v>
      </c>
      <c r="F5" s="4">
        <v>162.54</v>
      </c>
      <c r="G5" s="4">
        <v>0</v>
      </c>
      <c r="H5" s="4">
        <v>0</v>
      </c>
      <c r="I5" s="4">
        <v>0</v>
      </c>
      <c r="J5" s="4">
        <v>2086.5100000000002</v>
      </c>
      <c r="K5" s="4">
        <f t="shared" si="1"/>
        <v>6104.46</v>
      </c>
      <c r="L5" s="6">
        <f t="shared" si="2"/>
        <v>0.74526704407414501</v>
      </c>
      <c r="M5" s="7">
        <f t="shared" si="3"/>
        <v>0</v>
      </c>
      <c r="N5" s="6">
        <f t="shared" si="4"/>
        <v>1.0238908200986265</v>
      </c>
    </row>
    <row r="6" spans="1:14" x14ac:dyDescent="0.2">
      <c r="A6" t="s">
        <v>22</v>
      </c>
      <c r="B6">
        <v>16</v>
      </c>
      <c r="C6" s="4">
        <v>10121.790000000001</v>
      </c>
      <c r="D6" s="5">
        <f t="shared" si="0"/>
        <v>121461.48000000001</v>
      </c>
      <c r="E6" s="4">
        <v>2142.38</v>
      </c>
      <c r="F6" s="4">
        <v>286.89999999999998</v>
      </c>
      <c r="G6" s="4">
        <v>-410.04</v>
      </c>
      <c r="H6" s="4">
        <v>88.42</v>
      </c>
      <c r="I6" s="4">
        <v>0</v>
      </c>
      <c r="J6" s="4">
        <v>2638.05</v>
      </c>
      <c r="K6" s="4">
        <f t="shared" si="1"/>
        <v>7483.7400000000007</v>
      </c>
      <c r="L6" s="6">
        <f t="shared" si="2"/>
        <v>0.73936922224231094</v>
      </c>
      <c r="M6" s="7">
        <f t="shared" si="3"/>
        <v>1.0794814289394297E-2</v>
      </c>
      <c r="N6" s="6">
        <f t="shared" si="4"/>
        <v>0.97417155721483539</v>
      </c>
    </row>
    <row r="7" spans="1:14" x14ac:dyDescent="0.2">
      <c r="A7" t="s">
        <v>23</v>
      </c>
      <c r="B7">
        <v>19</v>
      </c>
      <c r="C7" s="4">
        <v>14631.05</v>
      </c>
      <c r="D7" s="5">
        <f t="shared" si="0"/>
        <v>175572.59999999998</v>
      </c>
      <c r="E7" s="4">
        <v>4317.8</v>
      </c>
      <c r="F7" s="4">
        <v>305.52999999999997</v>
      </c>
      <c r="G7" s="4">
        <v>0</v>
      </c>
      <c r="H7" s="4">
        <v>114.07</v>
      </c>
      <c r="I7" s="4">
        <v>0</v>
      </c>
      <c r="J7" s="4">
        <v>3692.69</v>
      </c>
      <c r="K7" s="4">
        <f t="shared" si="1"/>
        <v>10938.359999999999</v>
      </c>
      <c r="L7" s="6">
        <f t="shared" si="2"/>
        <v>0.74761278240454376</v>
      </c>
      <c r="M7" s="7">
        <f t="shared" si="3"/>
        <v>1.1269745766312083E-2</v>
      </c>
      <c r="N7" s="6">
        <f t="shared" si="4"/>
        <v>1.0189156265838355</v>
      </c>
    </row>
    <row r="8" spans="1:14" x14ac:dyDescent="0.2">
      <c r="A8" t="s">
        <v>24</v>
      </c>
      <c r="B8">
        <v>22</v>
      </c>
      <c r="C8" s="4">
        <v>17626.61</v>
      </c>
      <c r="D8" s="5">
        <f t="shared" si="0"/>
        <v>211519.32</v>
      </c>
      <c r="E8" s="4">
        <v>2932.59</v>
      </c>
      <c r="F8" s="4">
        <v>685.16</v>
      </c>
      <c r="G8" s="4">
        <v>-622.19000000000005</v>
      </c>
      <c r="H8" s="4">
        <v>0</v>
      </c>
      <c r="I8" s="4">
        <v>0</v>
      </c>
      <c r="J8" s="4">
        <v>4184.37</v>
      </c>
      <c r="K8" s="4">
        <f t="shared" si="1"/>
        <v>13442.240000000002</v>
      </c>
      <c r="L8" s="6">
        <f t="shared" si="2"/>
        <v>0.76261062110071087</v>
      </c>
      <c r="M8" s="7">
        <f t="shared" si="3"/>
        <v>0</v>
      </c>
      <c r="N8" s="6">
        <f t="shared" si="4"/>
        <v>1.0043038606251773</v>
      </c>
    </row>
    <row r="9" spans="1:14" x14ac:dyDescent="0.2">
      <c r="A9" t="s">
        <v>25</v>
      </c>
      <c r="B9">
        <v>25</v>
      </c>
      <c r="C9" s="4">
        <v>20141.11</v>
      </c>
      <c r="D9" s="5">
        <f t="shared" si="0"/>
        <v>241693.32</v>
      </c>
      <c r="E9" s="4">
        <v>2604.69</v>
      </c>
      <c r="F9" s="4">
        <v>0</v>
      </c>
      <c r="G9" s="4">
        <v>-90.19</v>
      </c>
      <c r="H9" s="4">
        <v>0</v>
      </c>
      <c r="I9" s="4">
        <v>0</v>
      </c>
      <c r="J9" s="4">
        <v>4627.4799999999996</v>
      </c>
      <c r="K9" s="4">
        <f t="shared" si="1"/>
        <v>15513.630000000001</v>
      </c>
      <c r="L9" s="6">
        <f t="shared" si="2"/>
        <v>0.77024702213532426</v>
      </c>
      <c r="M9" s="7">
        <f t="shared" si="3"/>
        <v>0</v>
      </c>
      <c r="N9" s="6">
        <f t="shared" si="4"/>
        <v>0.99488330427688598</v>
      </c>
    </row>
    <row r="10" spans="1:14" x14ac:dyDescent="0.2">
      <c r="A10" t="s">
        <v>26</v>
      </c>
      <c r="B10">
        <v>27</v>
      </c>
      <c r="C10" s="4">
        <v>25369.79</v>
      </c>
      <c r="D10" s="5">
        <f t="shared" si="0"/>
        <v>304437.48</v>
      </c>
      <c r="E10" s="4">
        <v>5079.72</v>
      </c>
      <c r="F10" s="4">
        <v>758.68</v>
      </c>
      <c r="G10" s="4">
        <v>0</v>
      </c>
      <c r="H10" s="4">
        <v>609.72</v>
      </c>
      <c r="I10" s="4">
        <v>0</v>
      </c>
      <c r="J10" s="4">
        <v>6014.62</v>
      </c>
      <c r="K10" s="4">
        <f t="shared" si="1"/>
        <v>19355.170000000002</v>
      </c>
      <c r="L10" s="6">
        <f t="shared" si="2"/>
        <v>0.76292196348491659</v>
      </c>
      <c r="M10" s="7">
        <f t="shared" si="3"/>
        <v>3.0272412990148011E-2</v>
      </c>
      <c r="N10" s="6">
        <f t="shared" si="4"/>
        <v>1.0073958188004533</v>
      </c>
    </row>
    <row r="11" spans="1:14" x14ac:dyDescent="0.2">
      <c r="A11" t="s">
        <v>27</v>
      </c>
      <c r="B11">
        <v>31</v>
      </c>
      <c r="C11" s="4">
        <v>28818.52</v>
      </c>
      <c r="D11" s="5">
        <f t="shared" si="0"/>
        <v>345822.24</v>
      </c>
      <c r="E11" s="4">
        <v>2187.2399999999998</v>
      </c>
      <c r="F11" s="4">
        <v>1292.0999999999999</v>
      </c>
      <c r="G11" s="4">
        <v>-30.61</v>
      </c>
      <c r="H11" s="4">
        <v>0</v>
      </c>
      <c r="I11" s="4">
        <v>0</v>
      </c>
      <c r="J11" s="4">
        <v>6537.81</v>
      </c>
      <c r="K11" s="4">
        <f t="shared" si="1"/>
        <v>22280.71</v>
      </c>
      <c r="L11" s="6">
        <f t="shared" si="2"/>
        <v>0.7731385928215605</v>
      </c>
      <c r="M11" s="7">
        <f t="shared" si="3"/>
        <v>0</v>
      </c>
      <c r="N11" s="6">
        <f t="shared" si="4"/>
        <v>1.0497241009878284</v>
      </c>
    </row>
    <row r="12" spans="1:14" x14ac:dyDescent="0.2">
      <c r="A12" t="s">
        <v>28</v>
      </c>
      <c r="B12">
        <v>33</v>
      </c>
      <c r="C12" s="4">
        <v>29526.23</v>
      </c>
      <c r="D12" s="5">
        <f t="shared" si="0"/>
        <v>354314.76</v>
      </c>
      <c r="E12" s="4">
        <v>335.83</v>
      </c>
      <c r="F12" s="4">
        <v>1045.6600000000001</v>
      </c>
      <c r="G12" s="4">
        <v>-97.78</v>
      </c>
      <c r="H12" s="4">
        <v>576</v>
      </c>
      <c r="I12" s="4">
        <v>0</v>
      </c>
      <c r="J12" s="4">
        <v>7278.37</v>
      </c>
      <c r="K12" s="4">
        <f t="shared" si="1"/>
        <v>22247.86</v>
      </c>
      <c r="L12" s="6">
        <f t="shared" si="2"/>
        <v>0.75349477396877285</v>
      </c>
      <c r="M12" s="7">
        <f t="shared" si="3"/>
        <v>1.9987147153982924E-2</v>
      </c>
      <c r="N12" s="6">
        <f t="shared" si="4"/>
        <v>1.0129042018812902</v>
      </c>
    </row>
    <row r="13" spans="1:14" x14ac:dyDescent="0.2">
      <c r="A13" t="s">
        <v>29</v>
      </c>
      <c r="B13">
        <v>36</v>
      </c>
      <c r="C13" s="4">
        <v>35240.559999999998</v>
      </c>
      <c r="D13" s="5">
        <f t="shared" si="0"/>
        <v>422886.72</v>
      </c>
      <c r="E13" s="4">
        <v>6445.76</v>
      </c>
      <c r="F13" s="4">
        <v>96.02</v>
      </c>
      <c r="G13" s="4">
        <v>0</v>
      </c>
      <c r="H13" s="4">
        <v>827.45</v>
      </c>
      <c r="I13" s="4">
        <v>0</v>
      </c>
      <c r="J13" s="4">
        <v>7995.66</v>
      </c>
      <c r="K13" s="4">
        <f t="shared" si="1"/>
        <v>27244.899999999998</v>
      </c>
      <c r="L13" s="6">
        <f t="shared" si="2"/>
        <v>0.7731120050305671</v>
      </c>
      <c r="M13" s="7">
        <f t="shared" si="3"/>
        <v>2.8024234722821034E-2</v>
      </c>
      <c r="N13" s="6">
        <f t="shared" si="4"/>
        <v>0.9752277889862675</v>
      </c>
    </row>
    <row r="14" spans="1:14" x14ac:dyDescent="0.2">
      <c r="A14" t="s">
        <v>30</v>
      </c>
      <c r="B14">
        <v>40</v>
      </c>
      <c r="C14" s="4">
        <v>37696.85</v>
      </c>
      <c r="D14" s="5">
        <f t="shared" si="0"/>
        <v>452362.19999999995</v>
      </c>
      <c r="E14" s="4">
        <v>404.86</v>
      </c>
      <c r="F14" s="4">
        <v>2088.2600000000002</v>
      </c>
      <c r="G14" s="4">
        <v>-36.83</v>
      </c>
      <c r="H14" s="4">
        <v>0</v>
      </c>
      <c r="I14" s="4">
        <v>0</v>
      </c>
      <c r="J14" s="4">
        <v>9066.2900000000009</v>
      </c>
      <c r="K14" s="4">
        <f t="shared" si="1"/>
        <v>28630.559999999998</v>
      </c>
      <c r="L14" s="6">
        <f t="shared" si="2"/>
        <v>0.75949475884589823</v>
      </c>
      <c r="M14" s="7">
        <f t="shared" si="3"/>
        <v>0</v>
      </c>
      <c r="N14" s="6">
        <f t="shared" si="4"/>
        <v>1.0582121850504078</v>
      </c>
    </row>
    <row r="15" spans="1:14" x14ac:dyDescent="0.2">
      <c r="A15" t="s">
        <v>31</v>
      </c>
      <c r="B15">
        <v>43</v>
      </c>
      <c r="C15" s="4">
        <v>37739.4</v>
      </c>
      <c r="D15" s="5">
        <f t="shared" si="0"/>
        <v>452872.80000000005</v>
      </c>
      <c r="E15" s="4">
        <v>315.23</v>
      </c>
      <c r="F15" s="4">
        <v>436.34</v>
      </c>
      <c r="G15" s="4">
        <v>-709.02</v>
      </c>
      <c r="H15" s="4">
        <v>0</v>
      </c>
      <c r="I15" s="4">
        <v>0</v>
      </c>
      <c r="J15" s="4">
        <v>9075.41</v>
      </c>
      <c r="K15" s="4">
        <f t="shared" si="1"/>
        <v>28663.99</v>
      </c>
      <c r="L15" s="6">
        <f t="shared" si="2"/>
        <v>0.75952426376677951</v>
      </c>
      <c r="M15" s="7">
        <f t="shared" si="3"/>
        <v>0</v>
      </c>
      <c r="N15" s="6">
        <f t="shared" si="4"/>
        <v>0.99276650436309666</v>
      </c>
    </row>
    <row r="16" spans="1:14" x14ac:dyDescent="0.2">
      <c r="A16" t="s">
        <v>32</v>
      </c>
      <c r="B16">
        <v>46</v>
      </c>
      <c r="C16" s="4">
        <v>39600.629999999997</v>
      </c>
      <c r="D16" s="5">
        <f t="shared" si="0"/>
        <v>475207.55999999994</v>
      </c>
      <c r="E16" s="4">
        <v>833</v>
      </c>
      <c r="F16" s="4">
        <v>1028.23</v>
      </c>
      <c r="G16" s="4">
        <v>0</v>
      </c>
      <c r="H16" s="4">
        <v>0</v>
      </c>
      <c r="I16" s="4">
        <v>0</v>
      </c>
      <c r="J16" s="4">
        <v>9187.41</v>
      </c>
      <c r="K16" s="4">
        <f t="shared" si="1"/>
        <v>30413.219999999998</v>
      </c>
      <c r="L16" s="6">
        <f t="shared" si="2"/>
        <v>0.76799838790443486</v>
      </c>
      <c r="M16" s="7">
        <f t="shared" si="3"/>
        <v>0</v>
      </c>
      <c r="N16" s="6">
        <f t="shared" si="4"/>
        <v>1.0272455311955146</v>
      </c>
    </row>
    <row r="17" spans="1:14" x14ac:dyDescent="0.2">
      <c r="A17" t="s">
        <v>33</v>
      </c>
      <c r="B17">
        <v>49</v>
      </c>
      <c r="C17" s="4">
        <v>40964.11</v>
      </c>
      <c r="D17" s="5">
        <f t="shared" si="0"/>
        <v>491569.32</v>
      </c>
      <c r="E17" s="4">
        <v>1112.4100000000001</v>
      </c>
      <c r="F17" s="4">
        <v>619.15</v>
      </c>
      <c r="G17" s="4">
        <v>-249.85</v>
      </c>
      <c r="H17" s="4">
        <v>118.23</v>
      </c>
      <c r="I17" s="4">
        <v>0</v>
      </c>
      <c r="J17" s="4">
        <v>9025.74</v>
      </c>
      <c r="K17" s="4">
        <f t="shared" si="1"/>
        <v>31938.370000000003</v>
      </c>
      <c r="L17" s="6">
        <f t="shared" si="2"/>
        <v>0.77966712812752437</v>
      </c>
      <c r="M17" s="7">
        <f t="shared" si="3"/>
        <v>2.9855585630834663E-3</v>
      </c>
      <c r="N17" s="6">
        <f t="shared" si="4"/>
        <v>1.0063400506507094</v>
      </c>
    </row>
    <row r="18" spans="1:14" x14ac:dyDescent="0.2">
      <c r="A18" t="s">
        <v>34</v>
      </c>
      <c r="B18">
        <v>52</v>
      </c>
      <c r="C18" s="4">
        <v>41743.26</v>
      </c>
      <c r="D18" s="5">
        <f t="shared" si="0"/>
        <v>500919.12</v>
      </c>
      <c r="E18" s="4">
        <v>736.07</v>
      </c>
      <c r="F18" s="4">
        <v>93.17</v>
      </c>
      <c r="G18" s="4">
        <v>-50.09</v>
      </c>
      <c r="H18" s="4">
        <v>0</v>
      </c>
      <c r="I18" s="4">
        <v>0</v>
      </c>
      <c r="J18" s="4">
        <v>9738.23</v>
      </c>
      <c r="K18" s="4">
        <f t="shared" si="1"/>
        <v>32005.030000000002</v>
      </c>
      <c r="L18" s="6">
        <f t="shared" si="2"/>
        <v>0.76671132058205327</v>
      </c>
      <c r="M18" s="7">
        <f t="shared" si="3"/>
        <v>0</v>
      </c>
      <c r="N18" s="6">
        <f t="shared" si="4"/>
        <v>1.0010516522878199</v>
      </c>
    </row>
    <row r="19" spans="1:14" x14ac:dyDescent="0.2">
      <c r="A19" t="s">
        <v>35</v>
      </c>
      <c r="B19">
        <v>56</v>
      </c>
      <c r="C19" s="4">
        <v>44762.01</v>
      </c>
      <c r="D19" s="5">
        <f t="shared" si="0"/>
        <v>537144.12</v>
      </c>
      <c r="E19" s="4">
        <v>3652.18</v>
      </c>
      <c r="F19" s="4">
        <v>98.9</v>
      </c>
      <c r="G19" s="4">
        <v>-537.04999999999995</v>
      </c>
      <c r="H19" s="4">
        <v>195.28</v>
      </c>
      <c r="I19" s="4">
        <v>0</v>
      </c>
      <c r="J19" s="4">
        <v>10709.58</v>
      </c>
      <c r="K19" s="4">
        <f t="shared" si="1"/>
        <v>34052.43</v>
      </c>
      <c r="L19" s="6">
        <f t="shared" si="2"/>
        <v>0.76074398803807064</v>
      </c>
      <c r="M19" s="7">
        <f t="shared" si="3"/>
        <v>4.678120491787177E-3</v>
      </c>
      <c r="N19" s="6">
        <f t="shared" si="4"/>
        <v>0.98482557423641559</v>
      </c>
    </row>
    <row r="20" spans="1:14" x14ac:dyDescent="0.2">
      <c r="A20" t="s">
        <v>36</v>
      </c>
      <c r="B20">
        <v>59</v>
      </c>
      <c r="C20" s="4">
        <v>47452.75</v>
      </c>
      <c r="D20" s="5">
        <f t="shared" si="0"/>
        <v>569433</v>
      </c>
      <c r="E20" s="4">
        <v>1030.77</v>
      </c>
      <c r="F20" s="4">
        <v>1480.86</v>
      </c>
      <c r="G20" s="4">
        <v>-922.34</v>
      </c>
      <c r="H20" s="4">
        <v>57.84</v>
      </c>
      <c r="I20" s="4">
        <v>1159.29</v>
      </c>
      <c r="J20" s="4">
        <v>11573.9</v>
      </c>
      <c r="K20" s="4">
        <f t="shared" si="1"/>
        <v>35878.85</v>
      </c>
      <c r="L20" s="6">
        <f t="shared" si="2"/>
        <v>0.75609632739936039</v>
      </c>
      <c r="M20" s="7">
        <f t="shared" si="3"/>
        <v>1.2921671747984508E-3</v>
      </c>
      <c r="N20" s="6">
        <f t="shared" si="4"/>
        <v>1.0111853779577817</v>
      </c>
    </row>
    <row r="21" spans="1:14" x14ac:dyDescent="0.2">
      <c r="A21" t="s">
        <v>37</v>
      </c>
      <c r="B21">
        <v>60</v>
      </c>
      <c r="C21" s="4">
        <v>50608.99</v>
      </c>
      <c r="D21" s="5">
        <f t="shared" si="0"/>
        <v>607307.88</v>
      </c>
      <c r="E21" s="4">
        <v>2573.92</v>
      </c>
      <c r="F21" s="4">
        <v>1700.11</v>
      </c>
      <c r="G21" s="4">
        <v>-500.99</v>
      </c>
      <c r="H21" s="4">
        <v>616.79999999999995</v>
      </c>
      <c r="I21" s="4">
        <v>0</v>
      </c>
      <c r="J21" s="4">
        <v>11692.68</v>
      </c>
      <c r="K21" s="4">
        <f t="shared" si="1"/>
        <v>38916.31</v>
      </c>
      <c r="L21" s="6">
        <f t="shared" si="2"/>
        <v>0.7689604159261032</v>
      </c>
      <c r="M21" s="7">
        <f t="shared" si="3"/>
        <v>1.2998192939292242E-2</v>
      </c>
      <c r="N21" s="6">
        <f t="shared" si="4"/>
        <v>1.0122715754092229</v>
      </c>
    </row>
    <row r="22" spans="1:14" x14ac:dyDescent="0.2">
      <c r="A22" t="s">
        <v>38</v>
      </c>
      <c r="B22">
        <v>63</v>
      </c>
      <c r="C22" s="4">
        <v>49430.65</v>
      </c>
      <c r="D22" s="5">
        <f t="shared" si="0"/>
        <v>593167.80000000005</v>
      </c>
      <c r="E22" s="4">
        <v>1494.55</v>
      </c>
      <c r="F22" s="4">
        <v>2790.59</v>
      </c>
      <c r="G22" s="4">
        <v>-175.34</v>
      </c>
      <c r="H22" s="4">
        <v>5288.14</v>
      </c>
      <c r="I22" s="4">
        <v>0</v>
      </c>
      <c r="J22" s="4">
        <v>12002.97</v>
      </c>
      <c r="K22" s="4">
        <f t="shared" si="1"/>
        <v>37427.68</v>
      </c>
      <c r="L22" s="6">
        <f t="shared" si="2"/>
        <v>0.75717555807985526</v>
      </c>
      <c r="M22" s="7">
        <f t="shared" si="3"/>
        <v>0.10449013110121345</v>
      </c>
      <c r="N22" s="6">
        <f t="shared" si="4"/>
        <v>0.94718547040753054</v>
      </c>
    </row>
    <row r="23" spans="1:14" x14ac:dyDescent="0.2">
      <c r="A23" t="s">
        <v>39</v>
      </c>
      <c r="B23">
        <v>69</v>
      </c>
      <c r="C23" s="4">
        <v>52075.7</v>
      </c>
      <c r="D23" s="5">
        <f t="shared" si="0"/>
        <v>624908.39999999991</v>
      </c>
      <c r="E23" s="4">
        <v>2335.16</v>
      </c>
      <c r="F23" s="4">
        <v>330.75</v>
      </c>
      <c r="G23" s="4">
        <v>-20.86</v>
      </c>
      <c r="H23" s="4">
        <v>0</v>
      </c>
      <c r="I23" s="4">
        <v>0</v>
      </c>
      <c r="J23" s="4">
        <v>12954.81</v>
      </c>
      <c r="K23" s="4">
        <f t="shared" si="1"/>
        <v>39120.89</v>
      </c>
      <c r="L23" s="6">
        <f t="shared" si="2"/>
        <v>0.7512311884429782</v>
      </c>
      <c r="M23" s="7">
        <f t="shared" si="3"/>
        <v>0</v>
      </c>
      <c r="N23" s="6">
        <f t="shared" si="4"/>
        <v>1.0062691872350455</v>
      </c>
    </row>
    <row r="24" spans="1:14" x14ac:dyDescent="0.2">
      <c r="A24" t="s">
        <v>40</v>
      </c>
      <c r="B24">
        <v>75</v>
      </c>
      <c r="C24" s="4">
        <v>55062.95</v>
      </c>
      <c r="D24" s="5">
        <f t="shared" si="0"/>
        <v>660755.39999999991</v>
      </c>
      <c r="E24" s="4">
        <v>3083.61</v>
      </c>
      <c r="F24" s="4">
        <v>91.74</v>
      </c>
      <c r="G24" s="4">
        <v>-188.1</v>
      </c>
      <c r="H24" s="4">
        <v>0</v>
      </c>
      <c r="I24" s="4">
        <v>0</v>
      </c>
      <c r="J24" s="4">
        <v>13237.1</v>
      </c>
      <c r="K24" s="4">
        <f t="shared" si="1"/>
        <v>41825.85</v>
      </c>
      <c r="L24" s="6">
        <f t="shared" si="2"/>
        <v>0.75960060258304363</v>
      </c>
      <c r="M24" s="7">
        <f t="shared" si="3"/>
        <v>0</v>
      </c>
      <c r="N24" s="6">
        <f t="shared" si="4"/>
        <v>0.99814961680783931</v>
      </c>
    </row>
    <row r="25" spans="1:14" x14ac:dyDescent="0.2">
      <c r="A25" t="s">
        <v>41</v>
      </c>
      <c r="B25">
        <v>78</v>
      </c>
      <c r="C25" s="4">
        <v>58573.69</v>
      </c>
      <c r="D25" s="5">
        <f t="shared" si="0"/>
        <v>702884.28</v>
      </c>
      <c r="E25" s="4">
        <v>1005.86</v>
      </c>
      <c r="F25" s="4">
        <v>2782.65</v>
      </c>
      <c r="G25" s="4">
        <v>-80.150000000000006</v>
      </c>
      <c r="H25" s="4">
        <v>296.54000000000002</v>
      </c>
      <c r="I25" s="4">
        <v>98.92</v>
      </c>
      <c r="J25" s="4">
        <v>14510.41</v>
      </c>
      <c r="K25" s="4">
        <f t="shared" si="1"/>
        <v>44063.28</v>
      </c>
      <c r="L25" s="6">
        <f t="shared" si="2"/>
        <v>0.75227085744469913</v>
      </c>
      <c r="M25" s="7">
        <f t="shared" si="3"/>
        <v>5.3854724456281408E-3</v>
      </c>
      <c r="N25" s="6">
        <f t="shared" si="4"/>
        <v>1.0436947166833597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3" width="16" customWidth="1"/>
    <col min="4" max="4" width="14" customWidth="1"/>
    <col min="5" max="5" width="12" customWidth="1"/>
    <col min="6" max="6" width="16" customWidth="1"/>
  </cols>
  <sheetData>
    <row r="1" spans="1:6" x14ac:dyDescent="0.2">
      <c r="A1" s="3" t="s">
        <v>3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</row>
    <row r="2" spans="1:6" x14ac:dyDescent="0.2">
      <c r="A2" t="s">
        <v>17</v>
      </c>
      <c r="B2" s="4">
        <v>804.95</v>
      </c>
      <c r="C2" s="4">
        <f>Monthly_Actuals!C2</f>
        <v>777.28</v>
      </c>
      <c r="D2" s="4">
        <f t="shared" ref="D2:D25" si="0">C2-B2</f>
        <v>-27.670000000000073</v>
      </c>
      <c r="E2" s="6">
        <f t="shared" ref="E2:E25" si="1">D2/B2</f>
        <v>-3.4374805888564598E-2</v>
      </c>
      <c r="F2" t="str">
        <f t="shared" ref="F2:F25" si="2">IF(D2&gt;=0,"Above Budget","Below Budget")</f>
        <v>Below Budget</v>
      </c>
    </row>
    <row r="3" spans="1:6" x14ac:dyDescent="0.2">
      <c r="A3" t="s">
        <v>19</v>
      </c>
      <c r="B3" s="4">
        <v>3356.91</v>
      </c>
      <c r="C3" s="4">
        <f>Monthly_Actuals!C3</f>
        <v>4427.2700000000004</v>
      </c>
      <c r="D3" s="4">
        <f t="shared" si="0"/>
        <v>1070.3600000000006</v>
      </c>
      <c r="E3" s="6">
        <f t="shared" si="1"/>
        <v>0.31885275446765049</v>
      </c>
      <c r="F3" t="str">
        <f t="shared" si="2"/>
        <v>Above Budget</v>
      </c>
    </row>
    <row r="4" spans="1:6" x14ac:dyDescent="0.2">
      <c r="A4" t="s">
        <v>20</v>
      </c>
      <c r="B4" s="4">
        <v>6095.36</v>
      </c>
      <c r="C4" s="4">
        <f>Monthly_Actuals!C4</f>
        <v>6803.45</v>
      </c>
      <c r="D4" s="4">
        <f t="shared" si="0"/>
        <v>708.09000000000015</v>
      </c>
      <c r="E4" s="6">
        <f t="shared" si="1"/>
        <v>0.116168692251155</v>
      </c>
      <c r="F4" t="str">
        <f t="shared" si="2"/>
        <v>Above Budget</v>
      </c>
    </row>
    <row r="5" spans="1:6" x14ac:dyDescent="0.2">
      <c r="A5" t="s">
        <v>21</v>
      </c>
      <c r="B5" s="4">
        <v>8896.77</v>
      </c>
      <c r="C5" s="4">
        <f>Monthly_Actuals!C5</f>
        <v>8190.97</v>
      </c>
      <c r="D5" s="4">
        <f t="shared" si="0"/>
        <v>-705.80000000000018</v>
      </c>
      <c r="E5" s="6">
        <f t="shared" si="1"/>
        <v>-7.9332162121758809E-2</v>
      </c>
      <c r="F5" t="str">
        <f t="shared" si="2"/>
        <v>Below Budget</v>
      </c>
    </row>
    <row r="6" spans="1:6" x14ac:dyDescent="0.2">
      <c r="A6" t="s">
        <v>22</v>
      </c>
      <c r="B6" s="4">
        <v>11060.37</v>
      </c>
      <c r="C6" s="4">
        <f>Monthly_Actuals!C6</f>
        <v>10121.790000000001</v>
      </c>
      <c r="D6" s="4">
        <f t="shared" si="0"/>
        <v>-938.57999999999993</v>
      </c>
      <c r="E6" s="6">
        <f t="shared" si="1"/>
        <v>-8.4859728924077574E-2</v>
      </c>
      <c r="F6" t="str">
        <f t="shared" si="2"/>
        <v>Below Budget</v>
      </c>
    </row>
    <row r="7" spans="1:6" x14ac:dyDescent="0.2">
      <c r="A7" t="s">
        <v>23</v>
      </c>
      <c r="B7" s="4">
        <v>14088.64</v>
      </c>
      <c r="C7" s="4">
        <f>Monthly_Actuals!C7</f>
        <v>14631.05</v>
      </c>
      <c r="D7" s="4">
        <f t="shared" si="0"/>
        <v>542.40999999999985</v>
      </c>
      <c r="E7" s="6">
        <f t="shared" si="1"/>
        <v>3.8499812614986251E-2</v>
      </c>
      <c r="F7" t="str">
        <f t="shared" si="2"/>
        <v>Above Budget</v>
      </c>
    </row>
    <row r="8" spans="1:6" x14ac:dyDescent="0.2">
      <c r="A8" t="s">
        <v>24</v>
      </c>
      <c r="B8" s="4">
        <v>16753.580000000002</v>
      </c>
      <c r="C8" s="4">
        <f>Monthly_Actuals!C8</f>
        <v>17626.61</v>
      </c>
      <c r="D8" s="4">
        <f t="shared" si="0"/>
        <v>873.02999999999884</v>
      </c>
      <c r="E8" s="6">
        <f t="shared" si="1"/>
        <v>5.2110056477481154E-2</v>
      </c>
      <c r="F8" t="str">
        <f t="shared" si="2"/>
        <v>Above Budget</v>
      </c>
    </row>
    <row r="9" spans="1:6" x14ac:dyDescent="0.2">
      <c r="A9" t="s">
        <v>25</v>
      </c>
      <c r="B9" s="4">
        <v>18057.75</v>
      </c>
      <c r="C9" s="4">
        <f>Monthly_Actuals!C9</f>
        <v>20141.11</v>
      </c>
      <c r="D9" s="4">
        <f t="shared" si="0"/>
        <v>2083.3600000000006</v>
      </c>
      <c r="E9" s="6">
        <f t="shared" si="1"/>
        <v>0.11537207016378012</v>
      </c>
      <c r="F9" t="str">
        <f t="shared" si="2"/>
        <v>Above Budget</v>
      </c>
    </row>
    <row r="10" spans="1:6" x14ac:dyDescent="0.2">
      <c r="A10" t="s">
        <v>26</v>
      </c>
      <c r="B10" s="4">
        <v>22986.68</v>
      </c>
      <c r="C10" s="4">
        <f>Monthly_Actuals!C10</f>
        <v>25369.79</v>
      </c>
      <c r="D10" s="4">
        <f t="shared" si="0"/>
        <v>2383.1100000000006</v>
      </c>
      <c r="E10" s="6">
        <f t="shared" si="1"/>
        <v>0.10367351875085921</v>
      </c>
      <c r="F10" t="str">
        <f t="shared" si="2"/>
        <v>Above Budget</v>
      </c>
    </row>
    <row r="11" spans="1:6" x14ac:dyDescent="0.2">
      <c r="A11" t="s">
        <v>27</v>
      </c>
      <c r="B11" s="4">
        <v>25348.880000000001</v>
      </c>
      <c r="C11" s="4">
        <f>Monthly_Actuals!C11</f>
        <v>28818.52</v>
      </c>
      <c r="D11" s="4">
        <f t="shared" si="0"/>
        <v>3469.6399999999994</v>
      </c>
      <c r="E11" s="6">
        <f t="shared" si="1"/>
        <v>0.13687547536617001</v>
      </c>
      <c r="F11" t="str">
        <f t="shared" si="2"/>
        <v>Above Budget</v>
      </c>
    </row>
    <row r="12" spans="1:6" x14ac:dyDescent="0.2">
      <c r="A12" t="s">
        <v>28</v>
      </c>
      <c r="B12" s="4">
        <v>26734.99</v>
      </c>
      <c r="C12" s="4">
        <f>Monthly_Actuals!C12</f>
        <v>29526.23</v>
      </c>
      <c r="D12" s="4">
        <f t="shared" si="0"/>
        <v>2791.239999999998</v>
      </c>
      <c r="E12" s="6">
        <f t="shared" si="1"/>
        <v>0.10440400389152933</v>
      </c>
      <c r="F12" t="str">
        <f t="shared" si="2"/>
        <v>Above Budget</v>
      </c>
    </row>
    <row r="13" spans="1:6" x14ac:dyDescent="0.2">
      <c r="A13" t="s">
        <v>29</v>
      </c>
      <c r="B13" s="4">
        <v>29881.23</v>
      </c>
      <c r="C13" s="4">
        <f>Monthly_Actuals!C13</f>
        <v>35240.559999999998</v>
      </c>
      <c r="D13" s="4">
        <f t="shared" si="0"/>
        <v>5359.3299999999981</v>
      </c>
      <c r="E13" s="6">
        <f t="shared" si="1"/>
        <v>0.17935439739261061</v>
      </c>
      <c r="F13" t="str">
        <f t="shared" si="2"/>
        <v>Above Budget</v>
      </c>
    </row>
    <row r="14" spans="1:6" x14ac:dyDescent="0.2">
      <c r="A14" t="s">
        <v>30</v>
      </c>
      <c r="B14" s="4">
        <v>33416.42</v>
      </c>
      <c r="C14" s="4">
        <f>Monthly_Actuals!C14</f>
        <v>37696.85</v>
      </c>
      <c r="D14" s="4">
        <f t="shared" si="0"/>
        <v>4280.43</v>
      </c>
      <c r="E14" s="6">
        <f t="shared" si="1"/>
        <v>0.12809361385809731</v>
      </c>
      <c r="F14" t="str">
        <f t="shared" si="2"/>
        <v>Above Budget</v>
      </c>
    </row>
    <row r="15" spans="1:6" x14ac:dyDescent="0.2">
      <c r="A15" t="s">
        <v>31</v>
      </c>
      <c r="B15" s="4">
        <v>35050.79</v>
      </c>
      <c r="C15" s="4">
        <f>Monthly_Actuals!C15</f>
        <v>37739.4</v>
      </c>
      <c r="D15" s="4">
        <f t="shared" si="0"/>
        <v>2688.6100000000006</v>
      </c>
      <c r="E15" s="6">
        <f t="shared" si="1"/>
        <v>7.6706117037590324E-2</v>
      </c>
      <c r="F15" t="str">
        <f t="shared" si="2"/>
        <v>Above Budget</v>
      </c>
    </row>
    <row r="16" spans="1:6" x14ac:dyDescent="0.2">
      <c r="A16" t="s">
        <v>32</v>
      </c>
      <c r="B16" s="4">
        <v>37717.96</v>
      </c>
      <c r="C16" s="4">
        <f>Monthly_Actuals!C16</f>
        <v>39600.629999999997</v>
      </c>
      <c r="D16" s="4">
        <f t="shared" si="0"/>
        <v>1882.6699999999983</v>
      </c>
      <c r="E16" s="6">
        <f t="shared" si="1"/>
        <v>4.9914417428726217E-2</v>
      </c>
      <c r="F16" t="str">
        <f t="shared" si="2"/>
        <v>Above Budget</v>
      </c>
    </row>
    <row r="17" spans="1:6" x14ac:dyDescent="0.2">
      <c r="A17" t="s">
        <v>33</v>
      </c>
      <c r="B17" s="4">
        <v>38385.449999999997</v>
      </c>
      <c r="C17" s="4">
        <f>Monthly_Actuals!C17</f>
        <v>40964.11</v>
      </c>
      <c r="D17" s="4">
        <f t="shared" si="0"/>
        <v>2578.6600000000035</v>
      </c>
      <c r="E17" s="6">
        <f t="shared" si="1"/>
        <v>6.717805835283952E-2</v>
      </c>
      <c r="F17" t="str">
        <f t="shared" si="2"/>
        <v>Above Budget</v>
      </c>
    </row>
    <row r="18" spans="1:6" x14ac:dyDescent="0.2">
      <c r="A18" t="s">
        <v>34</v>
      </c>
      <c r="B18" s="4">
        <v>44384.42</v>
      </c>
      <c r="C18" s="4">
        <f>Monthly_Actuals!C18</f>
        <v>41743.26</v>
      </c>
      <c r="D18" s="4">
        <f t="shared" si="0"/>
        <v>-2641.1599999999962</v>
      </c>
      <c r="E18" s="6">
        <f t="shared" si="1"/>
        <v>-5.9506466458275141E-2</v>
      </c>
      <c r="F18" t="str">
        <f t="shared" si="2"/>
        <v>Below Budget</v>
      </c>
    </row>
    <row r="19" spans="1:6" x14ac:dyDescent="0.2">
      <c r="A19" t="s">
        <v>35</v>
      </c>
      <c r="B19" s="4">
        <v>46316.27</v>
      </c>
      <c r="C19" s="4">
        <f>Monthly_Actuals!C19</f>
        <v>44762.01</v>
      </c>
      <c r="D19" s="4">
        <f t="shared" si="0"/>
        <v>-1554.2599999999948</v>
      </c>
      <c r="E19" s="6">
        <f t="shared" si="1"/>
        <v>-3.3557538204177381E-2</v>
      </c>
      <c r="F19" t="str">
        <f t="shared" si="2"/>
        <v>Below Budget</v>
      </c>
    </row>
    <row r="20" spans="1:6" x14ac:dyDescent="0.2">
      <c r="A20" t="s">
        <v>36</v>
      </c>
      <c r="B20" s="4">
        <v>49289.85</v>
      </c>
      <c r="C20" s="4">
        <f>Monthly_Actuals!C20</f>
        <v>47452.75</v>
      </c>
      <c r="D20" s="4">
        <f t="shared" si="0"/>
        <v>-1837.0999999999985</v>
      </c>
      <c r="E20" s="6">
        <f t="shared" si="1"/>
        <v>-3.7271365199934646E-2</v>
      </c>
      <c r="F20" t="str">
        <f t="shared" si="2"/>
        <v>Below Budget</v>
      </c>
    </row>
    <row r="21" spans="1:6" x14ac:dyDescent="0.2">
      <c r="A21" t="s">
        <v>37</v>
      </c>
      <c r="B21" s="4">
        <v>48281.47</v>
      </c>
      <c r="C21" s="4">
        <f>Monthly_Actuals!C21</f>
        <v>50608.99</v>
      </c>
      <c r="D21" s="4">
        <f t="shared" si="0"/>
        <v>2327.5199999999968</v>
      </c>
      <c r="E21" s="6">
        <f t="shared" si="1"/>
        <v>4.8207314317480321E-2</v>
      </c>
      <c r="F21" t="str">
        <f t="shared" si="2"/>
        <v>Above Budget</v>
      </c>
    </row>
    <row r="22" spans="1:6" x14ac:dyDescent="0.2">
      <c r="A22" t="s">
        <v>38</v>
      </c>
      <c r="B22" s="4">
        <v>57659.33</v>
      </c>
      <c r="C22" s="4">
        <f>Monthly_Actuals!C22</f>
        <v>49430.65</v>
      </c>
      <c r="D22" s="4">
        <f t="shared" si="0"/>
        <v>-8228.68</v>
      </c>
      <c r="E22" s="6">
        <f t="shared" si="1"/>
        <v>-0.14271202943218383</v>
      </c>
      <c r="F22" t="str">
        <f t="shared" si="2"/>
        <v>Below Budget</v>
      </c>
    </row>
    <row r="23" spans="1:6" x14ac:dyDescent="0.2">
      <c r="A23" t="s">
        <v>39</v>
      </c>
      <c r="B23" s="4">
        <v>57105.08</v>
      </c>
      <c r="C23" s="4">
        <f>Monthly_Actuals!C23</f>
        <v>52075.7</v>
      </c>
      <c r="D23" s="4">
        <f t="shared" si="0"/>
        <v>-5029.3800000000047</v>
      </c>
      <c r="E23" s="6">
        <f t="shared" si="1"/>
        <v>-8.8072374646879129E-2</v>
      </c>
      <c r="F23" t="str">
        <f t="shared" si="2"/>
        <v>Below Budget</v>
      </c>
    </row>
    <row r="24" spans="1:6" x14ac:dyDescent="0.2">
      <c r="A24" t="s">
        <v>40</v>
      </c>
      <c r="B24" s="4">
        <v>58501.23</v>
      </c>
      <c r="C24" s="4">
        <f>Monthly_Actuals!C24</f>
        <v>55062.95</v>
      </c>
      <c r="D24" s="4">
        <f t="shared" si="0"/>
        <v>-3438.2800000000061</v>
      </c>
      <c r="E24" s="6">
        <f t="shared" si="1"/>
        <v>-5.8772781358614273E-2</v>
      </c>
      <c r="F24" t="str">
        <f t="shared" si="2"/>
        <v>Below Budget</v>
      </c>
    </row>
    <row r="25" spans="1:6" x14ac:dyDescent="0.2">
      <c r="A25" t="s">
        <v>41</v>
      </c>
      <c r="B25" s="4">
        <v>67127.360000000001</v>
      </c>
      <c r="C25" s="4">
        <f>Monthly_Actuals!C25</f>
        <v>58573.69</v>
      </c>
      <c r="D25" s="4">
        <f t="shared" si="0"/>
        <v>-8553.6699999999983</v>
      </c>
      <c r="E25" s="6">
        <f t="shared" si="1"/>
        <v>-0.12742449576446918</v>
      </c>
      <c r="F25" t="str">
        <f t="shared" si="2"/>
        <v>Below Budget</v>
      </c>
    </row>
    <row r="27" spans="1:6" x14ac:dyDescent="0.2">
      <c r="A27" s="8" t="s">
        <v>47</v>
      </c>
      <c r="B27" s="6">
        <f>AVERAGE(E24:E25)</f>
        <v>-9.3098638561541727E-2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14" customWidth="1"/>
    <col min="4" max="4" width="2" customWidth="1"/>
    <col min="5" max="5" width="11" customWidth="1"/>
  </cols>
  <sheetData>
    <row r="1" spans="1:5" x14ac:dyDescent="0.2">
      <c r="A1" s="3" t="s">
        <v>3</v>
      </c>
      <c r="B1" s="3" t="s">
        <v>48</v>
      </c>
      <c r="C1" s="3" t="s">
        <v>49</v>
      </c>
      <c r="E1" t="s">
        <v>50</v>
      </c>
    </row>
    <row r="2" spans="1:5" x14ac:dyDescent="0.2">
      <c r="A2" t="s">
        <v>17</v>
      </c>
      <c r="B2" s="5">
        <v>777.28</v>
      </c>
      <c r="C2" s="5"/>
      <c r="E2">
        <v>1</v>
      </c>
    </row>
    <row r="3" spans="1:5" x14ac:dyDescent="0.2">
      <c r="A3" t="s">
        <v>19</v>
      </c>
      <c r="B3" s="5">
        <v>4427.2700000000004</v>
      </c>
      <c r="C3" s="5"/>
      <c r="E3">
        <v>2</v>
      </c>
    </row>
    <row r="4" spans="1:5" x14ac:dyDescent="0.2">
      <c r="A4" t="s">
        <v>20</v>
      </c>
      <c r="B4" s="5">
        <v>6803.45</v>
      </c>
      <c r="C4" s="5"/>
      <c r="E4">
        <v>3</v>
      </c>
    </row>
    <row r="5" spans="1:5" x14ac:dyDescent="0.2">
      <c r="A5" t="s">
        <v>21</v>
      </c>
      <c r="B5" s="5">
        <v>8190.97</v>
      </c>
      <c r="C5" s="5"/>
      <c r="E5">
        <v>4</v>
      </c>
    </row>
    <row r="6" spans="1:5" x14ac:dyDescent="0.2">
      <c r="A6" t="s">
        <v>22</v>
      </c>
      <c r="B6" s="5">
        <v>10121.790000000001</v>
      </c>
      <c r="C6" s="5"/>
      <c r="E6">
        <v>5</v>
      </c>
    </row>
    <row r="7" spans="1:5" x14ac:dyDescent="0.2">
      <c r="A7" t="s">
        <v>23</v>
      </c>
      <c r="B7" s="5">
        <v>14631.05</v>
      </c>
      <c r="C7" s="5"/>
      <c r="E7">
        <v>6</v>
      </c>
    </row>
    <row r="8" spans="1:5" x14ac:dyDescent="0.2">
      <c r="A8" t="s">
        <v>24</v>
      </c>
      <c r="B8" s="5">
        <v>17626.61</v>
      </c>
      <c r="C8" s="5"/>
      <c r="E8">
        <v>7</v>
      </c>
    </row>
    <row r="9" spans="1:5" x14ac:dyDescent="0.2">
      <c r="A9" t="s">
        <v>25</v>
      </c>
      <c r="B9" s="5">
        <v>20141.11</v>
      </c>
      <c r="C9" s="5"/>
      <c r="E9">
        <v>8</v>
      </c>
    </row>
    <row r="10" spans="1:5" x14ac:dyDescent="0.2">
      <c r="A10" t="s">
        <v>26</v>
      </c>
      <c r="B10" s="5">
        <v>25369.79</v>
      </c>
      <c r="C10" s="5"/>
      <c r="E10">
        <v>9</v>
      </c>
    </row>
    <row r="11" spans="1:5" x14ac:dyDescent="0.2">
      <c r="A11" t="s">
        <v>27</v>
      </c>
      <c r="B11" s="5">
        <v>28818.52</v>
      </c>
      <c r="C11" s="5"/>
      <c r="E11">
        <v>10</v>
      </c>
    </row>
    <row r="12" spans="1:5" x14ac:dyDescent="0.2">
      <c r="A12" t="s">
        <v>28</v>
      </c>
      <c r="B12" s="5">
        <v>29526.23</v>
      </c>
      <c r="C12" s="5"/>
      <c r="E12">
        <v>11</v>
      </c>
    </row>
    <row r="13" spans="1:5" x14ac:dyDescent="0.2">
      <c r="A13" t="s">
        <v>29</v>
      </c>
      <c r="B13" s="5">
        <v>35240.559999999998</v>
      </c>
      <c r="C13" s="5"/>
      <c r="E13">
        <v>12</v>
      </c>
    </row>
    <row r="14" spans="1:5" x14ac:dyDescent="0.2">
      <c r="A14" t="s">
        <v>30</v>
      </c>
      <c r="B14" s="5">
        <v>37696.85</v>
      </c>
      <c r="C14" s="5"/>
      <c r="E14">
        <v>13</v>
      </c>
    </row>
    <row r="15" spans="1:5" x14ac:dyDescent="0.2">
      <c r="A15" t="s">
        <v>31</v>
      </c>
      <c r="B15" s="5">
        <v>37739.4</v>
      </c>
      <c r="C15" s="5"/>
      <c r="E15">
        <v>14</v>
      </c>
    </row>
    <row r="16" spans="1:5" x14ac:dyDescent="0.2">
      <c r="A16" t="s">
        <v>32</v>
      </c>
      <c r="B16" s="5">
        <v>39600.629999999997</v>
      </c>
      <c r="C16" s="5"/>
      <c r="E16">
        <v>15</v>
      </c>
    </row>
    <row r="17" spans="1:5" x14ac:dyDescent="0.2">
      <c r="A17" t="s">
        <v>33</v>
      </c>
      <c r="B17" s="5">
        <v>40964.11</v>
      </c>
      <c r="C17" s="5"/>
      <c r="E17">
        <v>16</v>
      </c>
    </row>
    <row r="18" spans="1:5" x14ac:dyDescent="0.2">
      <c r="A18" t="s">
        <v>34</v>
      </c>
      <c r="B18" s="5">
        <v>41743.26</v>
      </c>
      <c r="C18" s="5"/>
      <c r="E18">
        <v>17</v>
      </c>
    </row>
    <row r="19" spans="1:5" x14ac:dyDescent="0.2">
      <c r="A19" t="s">
        <v>35</v>
      </c>
      <c r="B19" s="5">
        <v>44762.01</v>
      </c>
      <c r="C19" s="5"/>
      <c r="E19">
        <v>18</v>
      </c>
    </row>
    <row r="20" spans="1:5" x14ac:dyDescent="0.2">
      <c r="A20" t="s">
        <v>36</v>
      </c>
      <c r="B20" s="5">
        <v>47452.75</v>
      </c>
      <c r="C20" s="5"/>
      <c r="E20">
        <v>19</v>
      </c>
    </row>
    <row r="21" spans="1:5" x14ac:dyDescent="0.2">
      <c r="A21" t="s">
        <v>37</v>
      </c>
      <c r="B21" s="5">
        <v>50608.99</v>
      </c>
      <c r="C21" s="5"/>
      <c r="E21">
        <v>20</v>
      </c>
    </row>
    <row r="22" spans="1:5" x14ac:dyDescent="0.2">
      <c r="A22" t="s">
        <v>38</v>
      </c>
      <c r="B22" s="5">
        <v>49430.65</v>
      </c>
      <c r="C22" s="5"/>
      <c r="E22">
        <v>21</v>
      </c>
    </row>
    <row r="23" spans="1:5" x14ac:dyDescent="0.2">
      <c r="A23" t="s">
        <v>39</v>
      </c>
      <c r="B23" s="5">
        <v>52075.7</v>
      </c>
      <c r="C23" s="5"/>
      <c r="E23">
        <v>22</v>
      </c>
    </row>
    <row r="24" spans="1:5" x14ac:dyDescent="0.2">
      <c r="A24" t="s">
        <v>40</v>
      </c>
      <c r="B24" s="5">
        <v>55062.95</v>
      </c>
      <c r="C24" s="5"/>
      <c r="E24">
        <v>23</v>
      </c>
    </row>
    <row r="25" spans="1:5" x14ac:dyDescent="0.2">
      <c r="A25" t="s">
        <v>41</v>
      </c>
      <c r="B25" s="5">
        <v>58573.69</v>
      </c>
      <c r="C25" s="5">
        <f>B25</f>
        <v>58573.69</v>
      </c>
      <c r="E25">
        <v>24</v>
      </c>
    </row>
    <row r="26" spans="1:5" x14ac:dyDescent="0.2">
      <c r="A26" t="s">
        <v>51</v>
      </c>
      <c r="B26" s="5"/>
      <c r="C26" s="5">
        <f t="shared" ref="C26:C31" si="0">_xlfn.FORECAST.LINEAR(E26,$B$2:$B$25,$E$2:$E$25)</f>
        <v>62378.27471014492</v>
      </c>
      <c r="E26">
        <v>25</v>
      </c>
    </row>
    <row r="27" spans="1:5" x14ac:dyDescent="0.2">
      <c r="A27" t="s">
        <v>52</v>
      </c>
      <c r="B27" s="5"/>
      <c r="C27" s="5">
        <f t="shared" si="0"/>
        <v>64843.917953623182</v>
      </c>
      <c r="E27">
        <v>26</v>
      </c>
    </row>
    <row r="28" spans="1:5" x14ac:dyDescent="0.2">
      <c r="A28" t="s">
        <v>53</v>
      </c>
      <c r="B28" s="5"/>
      <c r="C28" s="5">
        <f t="shared" si="0"/>
        <v>67309.561197101444</v>
      </c>
      <c r="E28">
        <v>27</v>
      </c>
    </row>
    <row r="29" spans="1:5" x14ac:dyDescent="0.2">
      <c r="A29" t="s">
        <v>54</v>
      </c>
      <c r="B29" s="5"/>
      <c r="C29" s="5">
        <f t="shared" si="0"/>
        <v>69775.204440579706</v>
      </c>
      <c r="E29">
        <v>28</v>
      </c>
    </row>
    <row r="30" spans="1:5" x14ac:dyDescent="0.2">
      <c r="A30" t="s">
        <v>55</v>
      </c>
      <c r="B30" s="5"/>
      <c r="C30" s="5">
        <f t="shared" si="0"/>
        <v>72240.847684057968</v>
      </c>
      <c r="E30">
        <v>29</v>
      </c>
    </row>
    <row r="31" spans="1:5" x14ac:dyDescent="0.2">
      <c r="A31" t="s">
        <v>56</v>
      </c>
      <c r="B31" s="5"/>
      <c r="C31" s="5">
        <f t="shared" si="0"/>
        <v>74706.49092753623</v>
      </c>
      <c r="E31">
        <v>30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baseColWidth="10" defaultColWidth="8.83203125" defaultRowHeight="15" x14ac:dyDescent="0.2"/>
  <cols>
    <col min="1" max="1" width="34" customWidth="1"/>
    <col min="2" max="2" width="14" customWidth="1"/>
    <col min="3" max="3" width="70" customWidth="1"/>
  </cols>
  <sheetData>
    <row r="1" spans="1:3" ht="19" x14ac:dyDescent="0.25">
      <c r="A1" s="1" t="s">
        <v>57</v>
      </c>
    </row>
    <row r="3" spans="1:3" x14ac:dyDescent="0.2">
      <c r="A3" s="3" t="s">
        <v>58</v>
      </c>
      <c r="B3" s="3" t="s">
        <v>59</v>
      </c>
      <c r="C3" s="3" t="s">
        <v>60</v>
      </c>
    </row>
    <row r="4" spans="1:3" ht="30" customHeight="1" x14ac:dyDescent="0.2">
      <c r="A4" t="s">
        <v>61</v>
      </c>
      <c r="B4" s="9">
        <f>Monthly_Actuals!D25</f>
        <v>702884.28</v>
      </c>
      <c r="C4" s="10" t="s">
        <v>62</v>
      </c>
    </row>
    <row r="5" spans="1:3" ht="30" customHeight="1" x14ac:dyDescent="0.2">
      <c r="A5" t="s">
        <v>63</v>
      </c>
      <c r="B5" s="9">
        <f>Monthly_Actuals!D25/Monthly_Actuals!B25</f>
        <v>9011.336923076924</v>
      </c>
      <c r="C5" s="10" t="s">
        <v>64</v>
      </c>
    </row>
    <row r="6" spans="1:3" ht="30" customHeight="1" x14ac:dyDescent="0.2">
      <c r="A6" t="s">
        <v>65</v>
      </c>
      <c r="B6" s="11">
        <f>Monthly_Actuals!C25</f>
        <v>58573.69</v>
      </c>
      <c r="C6" s="10" t="s">
        <v>66</v>
      </c>
    </row>
    <row r="7" spans="1:3" ht="30" customHeight="1" x14ac:dyDescent="0.2">
      <c r="A7" t="s">
        <v>14</v>
      </c>
      <c r="B7" s="12">
        <f>Monthly_Actuals!L25</f>
        <v>0.75227085744469913</v>
      </c>
      <c r="C7" s="10" t="s">
        <v>67</v>
      </c>
    </row>
    <row r="8" spans="1:3" ht="30" customHeight="1" x14ac:dyDescent="0.2">
      <c r="A8" t="s">
        <v>68</v>
      </c>
      <c r="B8" s="13">
        <f>Monthly_Actuals!M25</f>
        <v>5.3854724456281408E-3</v>
      </c>
      <c r="C8" s="10" t="s">
        <v>69</v>
      </c>
    </row>
    <row r="9" spans="1:3" ht="30" customHeight="1" x14ac:dyDescent="0.2">
      <c r="A9" t="s">
        <v>16</v>
      </c>
      <c r="B9" s="12">
        <f>Monthly_Actuals!N25</f>
        <v>1.0436947166833597</v>
      </c>
      <c r="C9" s="10" t="s">
        <v>70</v>
      </c>
    </row>
    <row r="10" spans="1:3" ht="30" customHeight="1" x14ac:dyDescent="0.2">
      <c r="A10" t="s">
        <v>71</v>
      </c>
      <c r="B10" s="12">
        <f>Budget_vs_Actual!B27</f>
        <v>-9.3098638561541727E-2</v>
      </c>
      <c r="C10" s="10" t="s">
        <v>72</v>
      </c>
    </row>
    <row r="11" spans="1:3" ht="30" customHeight="1" x14ac:dyDescent="0.2">
      <c r="A11" t="s">
        <v>73</v>
      </c>
      <c r="B11" s="9">
        <f>Revenue_Forecast!C26</f>
        <v>62378.27471014492</v>
      </c>
      <c r="C11" s="10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Monthly_Actuals</vt:lpstr>
      <vt:lpstr>Budget_vs_Actual</vt:lpstr>
      <vt:lpstr>Revenue_Forecast</vt:lpstr>
      <vt:lpstr>KPI_Summary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Mishra, Ankush</cp:lastModifiedBy>
  <dcterms:created xsi:type="dcterms:W3CDTF">2026-08-21T03:33:53Z</dcterms:created>
  <dcterms:modified xsi:type="dcterms:W3CDTF">2026-08-22T21:38:05Z</dcterms:modified>
</cp:coreProperties>
</file>